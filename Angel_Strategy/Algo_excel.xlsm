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05" windowWidth="10515" windowHeight="4695"/>
  </bookViews>
  <sheets>
    <sheet name="Sheet1" sheetId="1" r:id="rId1"/>
    <sheet name="Orders" sheetId="2" r:id="rId2"/>
    <sheet name="CONFIG" sheetId="3" r:id="rId3"/>
  </sheets>
  <functionGroups builtInGroupCount="17"/>
  <calcPr calcId="144525"/>
  <extLst>
    <ext xmlns:x14="http://schemas.microsoft.com/office/spreadsheetml/2009/9/main" uri="{8193D73E-4604-4355-AFF4-8A2333D13BE4}">
      <x14:definedNames>
        <x14:definedName name="get_ltp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get_symbol_details">
          <x14:argumentDescriptions count="1">
            <x14:argumentDescription index="0">Positional argument 1</x14:argumentDescription>
          </x14:argumentDescriptions>
        </x14:definedName>
        <x14:definedName name="place_order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N3" i="1" l="1"/>
  <c r="M3" i="1"/>
  <c r="P6" i="1" l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5" i="1"/>
  <c r="O3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6" i="1" l="1"/>
  <c r="E5" i="1"/>
  <c r="N1" i="1" l="1"/>
</calcChain>
</file>

<file path=xl/sharedStrings.xml><?xml version="1.0" encoding="utf-8"?>
<sst xmlns="http://schemas.openxmlformats.org/spreadsheetml/2006/main" count="180" uniqueCount="115">
  <si>
    <r>
      <t>"variety"</t>
    </r>
    <r>
      <rPr>
        <sz val="10"/>
        <color rgb="FF6C6D6C"/>
        <rFont val="Courier New"/>
        <family val="3"/>
      </rPr>
      <t>:</t>
    </r>
    <r>
      <rPr>
        <sz val="10"/>
        <color rgb="FF0D904F"/>
        <rFont val="Courier New"/>
        <family val="3"/>
      </rPr>
      <t>"NORMAL"</t>
    </r>
    <r>
      <rPr>
        <sz val="10"/>
        <color rgb="FF6C6D6C"/>
        <rFont val="Courier New"/>
        <family val="3"/>
      </rPr>
      <t>,</t>
    </r>
  </si>
  <si>
    <r>
      <t>"producttype"</t>
    </r>
    <r>
      <rPr>
        <sz val="10"/>
        <color rgb="FF6C6D6C"/>
        <rFont val="Courier New"/>
        <family val="3"/>
      </rPr>
      <t>:</t>
    </r>
    <r>
      <rPr>
        <sz val="10"/>
        <color rgb="FF0D904F"/>
        <rFont val="Courier New"/>
        <family val="3"/>
      </rPr>
      <t>"INTRADAY"</t>
    </r>
    <r>
      <rPr>
        <sz val="10"/>
        <color rgb="FF6C6D6C"/>
        <rFont val="Courier New"/>
        <family val="3"/>
      </rPr>
      <t>,</t>
    </r>
  </si>
  <si>
    <r>
      <t>"duration"</t>
    </r>
    <r>
      <rPr>
        <sz val="10"/>
        <color rgb="FF6C6D6C"/>
        <rFont val="Courier New"/>
        <family val="3"/>
      </rPr>
      <t>:</t>
    </r>
    <r>
      <rPr>
        <sz val="10"/>
        <color rgb="FF0D904F"/>
        <rFont val="Courier New"/>
        <family val="3"/>
      </rPr>
      <t>"DAY"</t>
    </r>
    <r>
      <rPr>
        <sz val="10"/>
        <color rgb="FF6C6D6C"/>
        <rFont val="Courier New"/>
        <family val="3"/>
      </rPr>
      <t>,</t>
    </r>
  </si>
  <si>
    <r>
      <t>"price"</t>
    </r>
    <r>
      <rPr>
        <sz val="10"/>
        <color rgb="FF6C6D6C"/>
        <rFont val="Courier New"/>
        <family val="3"/>
      </rPr>
      <t>:</t>
    </r>
    <r>
      <rPr>
        <sz val="10"/>
        <color rgb="FF0D904F"/>
        <rFont val="Courier New"/>
        <family val="3"/>
      </rPr>
      <t>"194.50"</t>
    </r>
    <r>
      <rPr>
        <sz val="10"/>
        <color rgb="FF6C6D6C"/>
        <rFont val="Courier New"/>
        <family val="3"/>
      </rPr>
      <t>,</t>
    </r>
  </si>
  <si>
    <r>
      <t>"stoploss"</t>
    </r>
    <r>
      <rPr>
        <sz val="10"/>
        <color rgb="FF6C6D6C"/>
        <rFont val="Courier New"/>
        <family val="3"/>
      </rPr>
      <t>:</t>
    </r>
    <r>
      <rPr>
        <sz val="10"/>
        <color rgb="FF0D904F"/>
        <rFont val="Courier New"/>
        <family val="3"/>
      </rPr>
      <t>"0"</t>
    </r>
    <r>
      <rPr>
        <sz val="10"/>
        <color rgb="FF6C6D6C"/>
        <rFont val="Courier New"/>
        <family val="3"/>
      </rPr>
      <t>,</t>
    </r>
  </si>
  <si>
    <r>
      <t>"tradingsymbol"</t>
    </r>
    <r>
      <rPr>
        <sz val="10"/>
        <color rgb="FF6C6D6C"/>
        <rFont val="Courier New"/>
        <family val="3"/>
      </rPr>
      <t>:</t>
    </r>
    <r>
      <rPr>
        <sz val="10"/>
        <color rgb="FFFF0000"/>
        <rFont val="Courier New"/>
        <family val="3"/>
      </rPr>
      <t>"SBIN-EQ"</t>
    </r>
    <r>
      <rPr>
        <sz val="10"/>
        <color rgb="FF6C6D6C"/>
        <rFont val="Courier New"/>
        <family val="3"/>
      </rPr>
      <t>,</t>
    </r>
  </si>
  <si>
    <r>
      <t>"symboltoken"</t>
    </r>
    <r>
      <rPr>
        <sz val="10"/>
        <color rgb="FF6C6D6C"/>
        <rFont val="Courier New"/>
        <family val="3"/>
      </rPr>
      <t>:</t>
    </r>
    <r>
      <rPr>
        <sz val="10"/>
        <color rgb="FFFF0000"/>
        <rFont val="Courier New"/>
        <family val="3"/>
      </rPr>
      <t>"3045"</t>
    </r>
    <r>
      <rPr>
        <sz val="10"/>
        <color rgb="FF6C6D6C"/>
        <rFont val="Courier New"/>
        <family val="3"/>
      </rPr>
      <t>,</t>
    </r>
  </si>
  <si>
    <r>
      <t>"transactiontype"</t>
    </r>
    <r>
      <rPr>
        <sz val="10"/>
        <color rgb="FF6C6D6C"/>
        <rFont val="Courier New"/>
        <family val="3"/>
      </rPr>
      <t>:</t>
    </r>
    <r>
      <rPr>
        <sz val="10"/>
        <color rgb="FFFF0000"/>
        <rFont val="Courier New"/>
        <family val="3"/>
      </rPr>
      <t>"BUY"</t>
    </r>
    <r>
      <rPr>
        <sz val="10"/>
        <color rgb="FF6C6D6C"/>
        <rFont val="Courier New"/>
        <family val="3"/>
      </rPr>
      <t>,</t>
    </r>
  </si>
  <si>
    <r>
      <t>"quantity"</t>
    </r>
    <r>
      <rPr>
        <sz val="10"/>
        <color rgb="FF6C6D6C"/>
        <rFont val="Courier New"/>
        <family val="3"/>
      </rPr>
      <t>:</t>
    </r>
    <r>
      <rPr>
        <sz val="10"/>
        <color rgb="FFFF0000"/>
        <rFont val="Courier New"/>
        <family val="3"/>
      </rPr>
      <t>"1"</t>
    </r>
  </si>
  <si>
    <t>Lot Size</t>
  </si>
  <si>
    <t>Token</t>
  </si>
  <si>
    <t>Symbol</t>
  </si>
  <si>
    <t>Lot</t>
  </si>
  <si>
    <t>Trans_Type</t>
  </si>
  <si>
    <t>Exchange</t>
  </si>
  <si>
    <t>NFO</t>
  </si>
  <si>
    <t>Strike</t>
  </si>
  <si>
    <t>Index_name</t>
  </si>
  <si>
    <t>Expiry</t>
  </si>
  <si>
    <t>NIFTY</t>
  </si>
  <si>
    <t>CE</t>
  </si>
  <si>
    <t>1: Place Order
2: Get Details</t>
  </si>
  <si>
    <t>SELL</t>
  </si>
  <si>
    <t>BUY</t>
  </si>
  <si>
    <t>{'variety': 'NORMAL',</t>
  </si>
  <si>
    <t xml:space="preserve">  'ordertype': 'MARKET',</t>
  </si>
  <si>
    <t xml:space="preserve">  'producttype': 'INTRADAY',</t>
  </si>
  <si>
    <t xml:space="preserve">  'duration': 'DAY',</t>
  </si>
  <si>
    <t xml:space="preserve">  'price': 0.0,</t>
  </si>
  <si>
    <t xml:space="preserve">  'triggerprice': 0.0,</t>
  </si>
  <si>
    <t xml:space="preserve">  'quantity': '75',</t>
  </si>
  <si>
    <t xml:space="preserve">  'disclosedquantity': '0',</t>
  </si>
  <si>
    <t xml:space="preserve">  'squareoff': 0.0,</t>
  </si>
  <si>
    <t xml:space="preserve">  'stoploss': 0.0,</t>
  </si>
  <si>
    <t xml:space="preserve">  'trailingstoploss': 0.0,</t>
  </si>
  <si>
    <t xml:space="preserve">  'tradingsymbol': 'NIFTY01JUL2115850PE',</t>
  </si>
  <si>
    <t xml:space="preserve">  'transactiontype': 'BUY',</t>
  </si>
  <si>
    <t xml:space="preserve">  'exchange': 'NFO',</t>
  </si>
  <si>
    <t xml:space="preserve">  'symboltoken': '52537',</t>
  </si>
  <si>
    <t xml:space="preserve">  'ordertag': '',</t>
  </si>
  <si>
    <t xml:space="preserve">  'instrumenttype': 'OPTIDX',</t>
  </si>
  <si>
    <t xml:space="preserve">  'strikeprice': 15850.0,</t>
  </si>
  <si>
    <t xml:space="preserve">  'optiontype': 'PE',</t>
  </si>
  <si>
    <t xml:space="preserve">  'expirydate': '01JUL2021',</t>
  </si>
  <si>
    <t xml:space="preserve">  'lotsize': '75',</t>
  </si>
  <si>
    <t xml:space="preserve">  'cancelsize': '0',</t>
  </si>
  <si>
    <t xml:space="preserve">  'averageprice': 0.0,</t>
  </si>
  <si>
    <t xml:space="preserve">  'filledshares': '0',</t>
  </si>
  <si>
    <t xml:space="preserve">  'unfilledshares': '75',</t>
  </si>
  <si>
    <t xml:space="preserve">  'orderid': '210628001104463',</t>
  </si>
  <si>
    <t xml:space="preserve">  'text': 'Adapter is Logged Off',</t>
  </si>
  <si>
    <t xml:space="preserve">  'status': 'rejected',</t>
  </si>
  <si>
    <t xml:space="preserve">  'orderstatus': 'rejected',</t>
  </si>
  <si>
    <t xml:space="preserve">  'updatetime': '28-Jun-2021 18:56:07',</t>
  </si>
  <si>
    <t xml:space="preserve">  'exchtime': '',</t>
  </si>
  <si>
    <t xml:space="preserve">  'exchorderupdatetime': '',</t>
  </si>
  <si>
    <t xml:space="preserve">  'fillid': '',</t>
  </si>
  <si>
    <t xml:space="preserve">  'filltime': '',</t>
  </si>
  <si>
    <t xml:space="preserve">  'parentorderid': ''},</t>
  </si>
  <si>
    <t>Order_id</t>
  </si>
  <si>
    <t>Trading Symbol</t>
  </si>
  <si>
    <t>Trading Price</t>
  </si>
  <si>
    <t>Quantity</t>
  </si>
  <si>
    <t>Status</t>
  </si>
  <si>
    <t>G53356</t>
  </si>
  <si>
    <t>Password</t>
  </si>
  <si>
    <t>victor3</t>
  </si>
  <si>
    <t>API KEY</t>
  </si>
  <si>
    <t>tGA5Z6GH</t>
  </si>
  <si>
    <t>REFRESH TOKEN</t>
  </si>
  <si>
    <t>FEED TOKEN</t>
  </si>
  <si>
    <t>Client ID</t>
  </si>
  <si>
    <t>Paper Trade</t>
  </si>
  <si>
    <t>Exit Price</t>
  </si>
  <si>
    <t>Total PNL</t>
  </si>
  <si>
    <t>Value</t>
  </si>
  <si>
    <t>NSE</t>
  </si>
  <si>
    <t>nse_cm</t>
  </si>
  <si>
    <t>BSE</t>
  </si>
  <si>
    <t>bse_cm</t>
  </si>
  <si>
    <t>nse_fo</t>
  </si>
  <si>
    <t>MCX</t>
  </si>
  <si>
    <t>mcx_fo</t>
  </si>
  <si>
    <t>NCDEX</t>
  </si>
  <si>
    <t>ncx_fo</t>
  </si>
  <si>
    <t>CDS</t>
  </si>
  <si>
    <t>cde_fo</t>
  </si>
  <si>
    <t>STOP</t>
  </si>
  <si>
    <t>TOTAL PnL</t>
  </si>
  <si>
    <t>Live Price</t>
  </si>
  <si>
    <t>Loss Limit</t>
  </si>
  <si>
    <t>[{'variety': 'NORMAL', 'ordertype': 'MARKET', 'producttype': 'INTRADAY', 'duration': 'DAY', 'price': 0.0, 'triggerprice': 0.0, 'quantity': '75', 'disclosedquantity': '0', 'squareoff': 0.0, 'stoploss': 0.0, 'trailingstoploss': 0.0, 'tradingsymbol': 'NIFTY08JUL2116200CE', 'transactiontype': 'SELL', 'exchange': 'NFO', 'symboltoken': '39536', 'ordertag': '', 'instrumenttype': 'OPTIDX', 'strikeprice': 16200.0, 'optiontype': 'CE', 'expirydate': '08JUL2021', 'lotsize': '75', 'cancelsize': '0', 'averageprice': 2.1, 'filledshares': '75', 'unfilledshares': '0', 'orderid': '210705000716850', 'text': '', 'status': 'complete', 'orderstatus': 'complete', 'updatetime': '05-Jul-2021 12:40:21', 'exchtime': '05-Jul-2021 12:40:21', 'exchorderupdatetime': '05-Jul-2021 12:40:21', 'fillid': '', 'filltime': '', 'parentorderid': ''}, {'variety': 'NORMAL', 'ordertype': 'MARKET', 'producttype': 'INTRADAY', 'duration': 'DAY', 'price': 0.0, 'triggerprice': 0.0, 'quantity': '300', 'disclosedquantity': '0', 'squareoff': 0.0, 'stoploss': 0.0, 'trailingstoploss': 0.0, 'tradingsymbol': 'NIFTY08JUL2115850PE', 'transactiontype': 'BUY', 'exchange': 'NFO', 'symboltoken': '39503', 'ordertag': '', 'instrumenttype': 'OPTIDX', 'strikeprice': 15850.0, 'optiontype': 'PE', 'expirydate': '08JUL2021', 'lotsize': '75', 'cancelsize': '0', 'averageprice': 81.78, 'filledshares': '300', 'unfilledshares': '0', 'orderid': '210705000452490', 'text': '', 'status': 'complete', 'orderstatus': 'complete', 'updatetime': '05-Jul-2021 10:37:10', 'exchtime': '05-Jul-2021 10:37:10', 'exchorderupdatetime': '05-Jul-2021 10:37:10', 'fillid': '', 'filltime': '', 'parentorderid': ''}, {'variety': 'NORMAL', 'ordertype': 'MARKET', 'producttype': 'INTRADAY', 'duration': 'DAY', 'price': 0.0, 'triggerprice': 0.0, 'quantity': '150', 'disclosedquantity': '0', 'squareoff': 0.0, 'stoploss': 0.0, 'trailingstoploss': 0.0, 'tradingsymbol': 'NIFTY08JUL2115800PE', 'transactiontype': 'SELL', 'exchange': 'NFO', 'symboltoken': '39501', 'ordertag': '0', 'instrumenttype': 'OPTIDX', 'strikeprice': 15800.0, 'optiontype': 'PE', 'expirydate': '08JUL2021', 'lotsize': '75', 'cancelsize': '0', 'averageprice': 76.35, 'filledshares': '150', 'unfilledshares': '0', 'orderid': '210705000068646', 'text': '', 'status': 'complete', 'orderstatus': 'complete', 'updatetime': '05-Jul-2021 09:17:35', 'exchtime': '05-Jul-2021 09:17:35', 'exchorderupdatetime': '05-Jul-2021 09:17:35', 'fillid': '', 'filltime': '', 'parentorderid': ''}, {'variety': 'NORMAL', 'ordertype': 'MARKET', 'producttype': 'INTRADAY', 'duration': 'DAY', 'price': 0.0, 'triggerprice': 0.0, 'quantity': '150', 'disclosedquantity': '0', 'squareoff': 0.0, 'stoploss': 0.0, 'trailingstoploss': 0.0, 'tradingsymbol': 'NIFTY08JUL2115800PE', 'transactiontype': 'BUY', 'exchange': 'NFO', 'symboltoken': '39501', 'ordertag': '', 'instrumenttype': 'OPTIDX', 'strikeprice': 15800.0, 'optiontype': 'PE', 'expirydate': '08JUL2021', 'lotsize': '75', 'cancelsize': '0', 'averageprice': 60.72, 'filledshares': '150', 'unfilledshares': '0', 'orderid': '210705000330690', 'text': '', 'status': 'complete', 'orderstatus': 'complete', 'updatetime': '05-Jul-2021 10:01:16', 'exchtime': '05-Jul-2021 10:01:16', 'exchorderupdatetime': '05-Jul-2021 10:01:16', 'fillid': '', 'filltime': '', 'parentorderid': ''}, {'variety': 'NORMAL', 'ordertype': 'MARKET', 'producttype': 'INTRADAY', 'duration': 'DAY', 'price': 0.0, 'triggerprice': 0.0, 'quantity': '75', 'disclosedquantity': '0', 'squareoff': 0.0, 'stoploss': 0.0, 'trailingstoploss': 0.0, 'tradingsymbol': 'NIFTY08JUL2116500CE', 'transactiontype': 'BUY', 'exchange': 'NFO', 'symboltoken': '45003', 'ordertag': '', 'instrumenttype': 'OPTIDX', 'strikeprice': 16500.0, 'optiontype': 'CE', 'expirydate': '08JUL2021', 'lotsize': '75', 'cancelsize': '0', 'averageprice': 1.0, 'filledshares': '75', 'unfilledshares': '0', 'orderid': '210705000713766', 'text': '', 'status': 'complete', 'orderstatus': 'complete', 'updatetime': '05-Jul-2021 12:38:31', 'exchtime': '05-Jul-2021 12:38:31', 'exchorderupdatetime': '05-Jul-2021 12:38:31', 'fillid': '', 'filltime': '', 'parentorderid': ''}, {'variety': 'NORMAL', 'ordertype': 'MARKET', 'producttype': 'INTRADAY', 'duration': 'DAY', 'price': 0.0, 'triggerprice': 0.0, 'quantity': '150', 'disclosedquantity': '0', 'squareoff': 0.0, 'stoploss': 0.0, 'trailingstoploss': 0.0, 'tradingsymbol': 'NIFTY08JUL2115850CE', 'transactiontype': 'SELL', 'exchange': 'NFO', 'symboltoken': '39502', 'ordertag': '0', 'instrumenttype': 'OPTIDX', 'strikeprice': 15850.0, 'optiontype': 'CE', 'expirydate': '08JUL2021', 'lotsize': '75', 'cancelsize': '0', 'averageprice': 48.3, 'filledshares': '150', 'unfilledshares': '0', 'orderid': '210705000281448', 'text': '', 'status': 'complete', 'orderstatus': 'complete', 'updatetime': '05-Jul-2021 09:49:13', 'exchtime': '05-Jul-2021 09:49:13', 'exchorderupdatetime': '05-Jul-2021 09:49:13', 'fillid': '', 'filltime': '', 'parentorderid': ''}, {'variety': 'NORMAL', 'ordertype': 'MARKET', 'producttype': 'INTRADAY', 'duration': 'DAY', 'price': 0.0, 'triggerprice': 0.0, 'quantity': '150', 'disclosedquantity': '0', 'squareoff': 0.0, 'stoploss': 0.0, 'trailingstoploss': 0.0, 'tradingsymbol': 'NIFTY08JUL2115800CE', 'transactiontype': 'BUY', 'exchange': 'NFO', 'symboltoken': '39498', 'ordertag': '', 'instrumenttype': 'OPTIDX', 'strikeprice': 15800.0, 'optiontype': 'CE', 'expirydate': '08JUL2021', 'lotsize': '75', 'cancelsize': '0', 'averageprice': 72.75, 'filledshares': '150', 'unfilledshares': '0', 'orderid': '210705000384440', 'text': '', 'status': 'complete', 'orderstatus': 'complete', 'updatetime': '05-Jul-2021 10:15:34', 'exchtime': '05-Jul-2021 10:15:34', 'exchorderupdatetime': '05-Jul-2021 10:15:34', 'fillid': '', 'filltime': '', 'parentorderid': ''}, {'variety': 'NORMAL', 'ordertype': 'MARKET', 'producttype': 'INTRADAY', 'duration': 'DAY', 'price': 0.0, 'triggerprice': 0.0, 'quantity': '300', 'disclosedquantity': '0', 'squareoff': 0.0, 'stoploss': 0.0, 'trailingstoploss': 0.0, 'tradingsymbol': 'NIFTY08JUL2115850CE', 'transactiontype': 'BUY', 'exchange': 'NFO', 'symboltoken': '39502', 'ordertag': '', 'instrumenttype': 'OPTIDX', 'strikeprice': 15850.0, 'optiontype': 'CE', 'expirydate': '08JUL2021', 'lotsize': '75', 'cancelsize': '0', 'averageprice': 50.0, 'filledshares': '300', 'unfilledshares': '0', 'orderid': '210705000459066', 'text': '', 'status': 'complete', 'orderstatus': 'complete', 'updatetime': '05-Jul-2021 10:39:15', 'exchtime': '05-Jul-2021 10:39:15', 'exchorderupdatetime': '05-Jul-2021 10:39:15', 'fillid': '', 'filltime': '', 'parentorderid': ''}, {'variety': 'NORMAL', 'ordertype': 'MARKET', 'producttype': 'INTRADAY', 'duration': 'DAY', 'price': 0.0, 'triggerprice': 0.0, 'quantity': '75', 'disclosedquantity': '0', 'squareoff': 0.0, 'stoploss': 0.0, 'trailingstoploss': 0.0, 'tradingsymbol': 'NIFTY08JUL2116200CE', 'transactiontype': 'SELL', 'exchange': 'NFO', 'symboltoken': '39536', 'ordertag': '', 'instrumenttype': 'OPTIDX', 'strikeprice': 16200.0, 'optiontype': 'CE', 'expirydate': '08JUL2021', 'lotsize': '75', 'cancelsize': '0', 'averageprice': 2.1, 'filledshares': '75', 'unfilledshares': '0', 'orderid': '210705000716243', 'text': '', 'status': 'complete', 'orderstatus': 'complete', 'updatetime': '05-Jul-2021 12:40:00', 'exchtime': '05-Jul-2021 12:40:00', 'exchorderupdatetime': '05-Jul-2021 12:40:00', 'fillid': '', 'filltime': '', 'parentorderid': ''}, {'variety': 'STOPLOSS', 'ordertype': 'STOPLOSS_MARKET', 'producttype': 'INTRADAY', 'duration': 'DAY', 'price': 0.0, 'triggerprice': 106.3, 'quantity': '150', 'disclosedquantity': '0', 'squareoff': 0.0, 'stoploss': 0.0, 'trailingstoploss': 0.0, 'tradingsymbol': 'NIFTY08JUL2115800PE', 'transactiontype': 'BUY', 'exchange': 'NFO', 'symboltoken': '39501', 'ordertag': '', 'instrumenttype': 'OPTIDX', 'strikeprice': 15800.0, 'optiontype': 'PE', 'expirydate': '08JUL2021', 'lotsize': '75', 'cancelsize': '150', 'averageprice': 0.0, 'filledshares': '0', 'unfilledshares': '150', 'orderid': '210705000087149', 'text': '', 'status': 'cancelled', 'orderstatus': 'cancelled', 'updatetime': '05-Jul-2021 10:01:31', 'exchtime': '05-Jul-2021 09:19:30', 'exchorderupdatetime': '05-Jul-2021 10:01:31', 'fillid': '', 'filltime': '', 'parentorderid': ''}, {'variety': 'NORMAL', 'ordertype': 'MARKET', 'producttype': 'INTRADAY', 'duration': 'DAY', 'price': 0.0, 'triggerprice': 0.0, 'quantity': '450', 'disclosedquantity': '0', 'squareoff': 0.0, 'stoploss': 0.0, 'trailingstoploss': 0.0, 'tradingsymbol': 'NIFTY08JUL2116200CE', 'transactiontype': 'SELL', 'exchange': 'NFO', 'symboltoken': '39536', 'ordertag': '', 'instrumenttype': 'OPTIDX', 'strikeprice': 16200.0, 'optiontype': 'CE', 'expirydate': '08JUL2021', 'lotsize': '75', 'cancelsize': '0', 'averageprice': 2.15, 'filledshares': '450', 'unfilledshares': '0', 'orderid': '210705000460288', 'text': '', 'status': 'complete', 'orderstatus': 'complete', 'updatetime': '05-Jul-2021 10:39:42', 'exchtime': '05-Jul-2021 10:39:42', 'exchorderupdatetime': '05-Jul-2021 10:39:42', 'fillid': '', 'filltime': '', 'parentorderid': ''}, {'variety': 'NORMAL', 'ordertype': 'MARKET', 'producttype': 'INTRADAY', 'duration': 'DAY', 'price': 0.0, 'triggerprice': 0.0, 'quantity': '150', 'disclosedquantity': '0', 'squareoff': 0.0, 'stoploss': 0.0, 'trailingstoploss': 0.0, 'tradingsymbol': 'NIFTY08JUL2115850CE', 'transactiontype': 'SELL', 'exchange': 'NFO', 'symboltoken': '39502', 'ordertag': '', 'instrumenttype': 'OPTIDX', 'strikeprice': 15850.0, 'optiontype': 'CE', 'expirydate': '08JUL2021', 'lotsize': '75', 'cancelsize': '0', 'averageprice': 47.9, 'filledshares': '150', 'unfilledshares': '0', 'orderid': '210705000386681', 'text': '', 'status': 'complete', 'orderstatus': 'complete', 'updatetime': '05-Jul-2021 10:16:02', 'exchtime': '05-Jul-2021 10:16:02', 'exchorderupdatetime': '05-Jul-2021 10:16:02', 'fillid': '', 'filltime': '', 'parentorderid': ''}, {'variety': 'NORMAL', 'ordertype': 'MARKET', 'producttype': 'INTRADAY', 'duration': 'DAY', 'price': 0.0, 'triggerprice': 0.0, 'quantity': '450', 'disclosedquantity': '0', 'squareoff': 0.0, 'stoploss': 0.0, 'trailingstoploss': 0.0, 'tradingsymbol': 'NIFTY08JUL2116200CE', 'transactiontype': 'BUY', 'exchange': 'NFO', 'symboltoken': '39536', 'ordertag': '0', 'instrumenttype': 'OPTIDX', 'strikeprice': 16200.0, 'optiontype': 'CE', 'expirydate': '08JUL2021', 'lotsize': '75', 'cancelsize': '0', 'averageprice': 2.45, 'filledshares': '450', 'unfilledshares': '0', 'orderid': '210705000052331', 'text': '', 'status': 'complete', 'orderstatus': 'complete', 'updatetime': '05-Jul-2021 09:16:09', 'exchtime': '05-Jul-2021 09:16:09', 'exchorderupdatetime': '05-Jul-2021 09:16:09', 'fillid': '', 'filltime': '', 'parentorderid': ''}, {'variety': 'NORMAL', 'ordertype': 'MARKET', 'producttype': 'INTRADAY', 'duration': 'DAY', 'price': 0.0, 'triggerprice': 0.0, 'quantity': '150', 'disclosedquantity': '0', 'squareoff': 0.0, 'stoploss': 0.0, 'trailingstoploss': 0.0, 'tradingsymbol': 'NIFTY08JUL2115850PE', 'transactiontype': 'SELL', 'exchange': 'NFO', 'symboltoken': '39503', 'ordertag': '', 'instrumenttype': 'OPTIDX', 'strikeprice': 15850.0, 'optiontype': 'PE', 'expirydate': '08JUL2021', 'lotsize': '75', 'cancelsize': '0', 'averageprice': 85.82, 'filledshares': '150', 'unfilledshares': '0', 'orderid': '210705000330975', 'text': '', 'status': 'complete', 'orderstatus': 'complete', 'updatetime': '05-Jul-2021 10:01:20', 'exchtime': '05-Jul-2021 10:01:20', 'exchorderupdatetime': '05-Jul-2021 10:01:20', 'fillid': '', 'filltime': '', 'parentorderid': ''}, {'variety': 'NORMAL', 'ordertype': 'MARKET', 'producttype': 'INTRADAY', 'duration': 'DAY', 'price': 0.0, 'triggerprice': 0.0, 'quantity': '450', 'disclosedquantity': '0', 'squareoff': 0.0, 'stoploss': 0.0, 'trailingstoploss': 0.0, 'tradingsymbol': 'NIFTY08JUL2115200PE', 'transactiontype': 'SELL', 'exchange': 'NFO', 'symboltoken': '39460', 'ordertag': '', 'instrumenttype': 'OPTIDX', 'strikeprice': 15200.0, 'optiontype': 'PE', 'expirydate': '08JUL2021', 'lotsize': '75', 'cancelsize': '0', 'averageprice': 2.85, 'filledshares': '450', 'unfilledshares': '0', 'orderid': '210705000460284', 'text': '', 'status': 'complete', 'orderstatus': 'complete', 'updatetime': '05-Jul-2021 10:39:42', 'exchtime': '05-Jul-2021 10:39:42', 'exchorderupdatetime': '05-Jul-2021 10:39:42', 'fillid': '', 'filltime': '', 'parentorderid': ''}, {'variety': 'STOPLOSS', 'ordertype': 'STOPLOSS_MARKET', 'producttype': 'INTRADAY', 'duration': 'DAY', 'price': 0.0, 'triggerprice': 116.6, 'quantity': '300', 'disclosedquantity': '0', 'squareoff': 0.0, 'stoploss': 0.0, 'trailingstoploss': 0.0, 'tradingsymbol': 'NIFTY08JUL2115850PE', 'transactiontype': 'BUY', 'exchange': 'NFO', 'symboltoken': '39503', 'ordertag': '', 'instrumenttype': 'OPTIDX', 'strikeprice': 15850.0, 'optiontype': 'PE', 'expirydate': '08JUL2021', 'lotsize': '75', 'cancelsize': '300', 'averageprice': 0.0, 'filledshares': '0', 'unfilledshares': '300', 'orderid': '210705000289195', 'text': '', 'status': 'cancelled', 'orderstatus': 'cancelled', 'updatetime': '05-Jul-2021 10:39:28', 'exchtime': '05-Jul-2021 10:01:52', 'exchorderupdatetime': '05-Jul-2021 10:39:28', 'fillid': '', 'filltime': '', 'parentorderid': ''}, {'variety': 'NORMAL', 'ordertype': 'MARKET', 'producttype': 'INTRADAY', 'duration': 'DAY', 'price': 0.0, 'triggerprice': 0.0, 'quantity': '450', 'disclosedquantity': '0', 'squareoff': 0.0, 'stoploss': 0.0, 'trailingstoploss': 0.0, 'tradingsymbol': 'NIFTY08JUL2115200PE', 'transactiontype': 'BUY', 'exchange': 'NFO', 'symboltoken': '39460', 'ordertag': '0', 'instrumenttype': 'OPTIDX', 'strikeprice': 15200.0, 'optiontype': 'PE', 'expirydate': '08JUL2021', 'lotsize': '75', 'cancelsize': '0', 'averageprice': 2.45, 'filledshares': '450', 'unfilledshares': '0', 'orderid': '210705000052549', 'text': '', 'status': 'complete', 'orderstatus': 'complete', 'updatetime': '05-Jul-2021 09:16:10', 'exchtime': '05-Jul-2021 09:16:10', 'exchorderupdatetime': '05-Jul-2021 09:16:10', 'fillid': '', 'filltime': '', 'parentorderid': ''}, {'variety': 'NORMAL', 'ordertype': 'MARKET', 'producttype': 'INTRADAY', 'duration': 'DAY', 'price': 0.0, 'triggerprice': 0.0, 'quantity': '150', 'disclosedquantity': '0', 'squareoff': 0.0, 'stoploss': 0.0, 'trailingstoploss': 0.0, 'tradingsymbol': 'NIFTY08JUL2115800CE', 'transactiontype': 'SELL', 'exchange': 'NFO', 'symboltoken': '39498', 'ordertag': '0', 'instrumenttype': 'OPTIDX', 'strikeprice': 15800.0, 'optiontype': 'CE', 'expirydate': '08JUL2021', 'lotsize': '75', 'cancelsize': '0', 'averageprice': 60.1, 'filledshares': '150', 'unfilledshares': '0', 'orderid': '210705000068636', 'text': '', 'status': 'complete', 'orderstatus': 'complete', 'updatetime': '05-Jul-2021 09:17:35', 'exchtime': '05-Jul-2021 09:17:35', 'exchorderupdatetime': '05-Jul-2021 09:17:35', 'fillid': '', 'filltime': '', 'parentorderid': ''}, {'variety': 'STOPLOSS', 'ordertype': 'STOPLOSS_MARKET', 'producttype': 'INTRADAY', 'duration': 'DAY', 'price': 0.0, 'triggerprice': 84.4, 'quantity': '150', 'disclosedquantity': '0', 'squareoff': 0.0, 'stoploss': 0.0, 'trailingstoploss': 0.0, 'tradingsymbol': 'NIFTY08JUL2115800CE', 'transactiontype': 'BUY', 'exchange': 'NFO', 'symboltoken': '39498', 'ordertag': '', 'instrumenttype': 'OPTIDX', 'strikeprice': 15800.0, 'optiontype': 'CE', 'expirydate': '08JUL2021', 'lotsize': '75', 'cancelsize': '150', 'averageprice': 0.0, 'filledshares': '0', 'unfilledshares': '150', 'orderid': '210705000093933', 'text': '', 'status': 'cancelled', 'orderstatus': 'cancelled', 'updatetime': '05-Jul-2021 10:16:15', 'exchtime': '05-Jul-2021 09:20:15', 'exchorderupdatetime': '05-Jul-2021 10:16:15', 'fillid': '', 'filltime': '', 'parentorderid': ''}, {'variety': 'STOPLOSS', 'ordertype': 'STOPLOSS_MARKET', 'producttype': 'INTRADAY', 'duration': 'DAY', 'price': 0.0, 'triggerprice': 67.6, 'quantity': '300', 'disclosedquantity': '0', 'squareoff': 0.0, 'stoploss': 0.0, 'trailingstoploss': 0.0, 'tradingsymbol': 'NIFTY08JUL2115850CE', 'transactiontype': 'BUY', 'exchange': 'NFO', 'symboltoken': '39502', 'ordertag': '', 'instrumenttype': 'OPTIDX', 'strikeprice': 15850.0, 'optiontype': 'CE', 'expirydate': '08JUL2021', 'lotsize': '75', 'cancelsize': '300', 'averageprice': 0.0, 'filledshares': '0', 'unfilledshares': '300', 'orderid': '210705000290356', 'text': '', 'status': 'cancelled', 'orderstatus': 'cancelled', 'updatetime': '05-Jul-2021 10:39:28', 'exchtime': '05-Jul-2021 10:16:38', 'exchorderupdatetime': '05-Jul-2021 10:39:28', 'fillid': '', 'filltime': '', 'parentorderid': ''}, {'variety': 'NORMAL', 'ordertype': 'MARKET', 'producttype': 'INTRADAY', 'duration': 'DAY', 'price': 0.0, 'triggerprice': 0.0, 'quantity': '75', 'disclosedquantity': '0', 'squareoff': 0.0, 'stoploss': 0.0, 'trailingstoploss': 0.0, 'tradingsymbol': 'NIFTY08JUL2116200CE', 'transactiontype': 'BUY', 'exchange': 'NFO', 'symboltoken': '39536', 'ordertag': '', 'instrumenttype': 'OPTIDX', 'strikeprice': 16200.0, 'optiontype': 'CE', 'expirydate': '08JUL2021', 'lotsize': '75', 'cancelsize': '0', 'averageprice': 2.15, 'filledshares': '75', 'unfilledshares': '0', 'orderid': '210705000728611', 'text': '', 'status': 'complete', 'orderstatus': 'complete', 'updatetime': '05-Jul-2021 12:46:42', 'exchtime': '05-Jul-2021 12:46:42', 'exchorderupdatetime': '05-Jul-2021 12:46:42', 'fillid': '', 'filltime': '', 'parentorderid': ''}, {'variety': 'NORMAL', 'ordertype': 'MARKET', 'producttype': 'INTRADAY', 'duration': 'DAY', 'price': 0.0, 'triggerprice': 0.0, 'quantity': '150', 'disclosedquantity': '0', 'squareoff': 0.0, 'stoploss': 0.0, 'trailingstoploss': 0.0, 'tradingsymbol': 'NIFTY08JUL2115850PE', 'transactiontype': 'SELL', 'exchange': 'NFO', 'symboltoken': '39503', 'ordertag': '0', 'instrumenttype': 'OPTIDX', 'strikeprice': 15850.0, 'optiontype': 'PE', 'expirydate': '08JUL2021', 'lotsize': '75', 'cancelsize': '0', 'averageprice': 83.32, 'filledshares': '150', 'unfilledshares': '0', 'orderid': '210705000281436', 'text': '', 'status': 'complete', 'orderstatus': 'complete', 'updatetime': '05-Jul-2021 09:49:12', 'exchtime': '05-Jul-2021 09:49:12', 'exchorderupdatetime': '05-Jul-2021 09:49:12', 'fillid': '', 'filltime': '', 'parentorderid': ''}]</t>
  </si>
  <si>
    <t>complete</t>
  </si>
  <si>
    <t>NET Quantity</t>
  </si>
  <si>
    <t>NET AVG PRICE</t>
  </si>
  <si>
    <t>PE</t>
  </si>
  <si>
    <t>39490</t>
  </si>
  <si>
    <t>39496</t>
  </si>
  <si>
    <t>210708000726589</t>
  </si>
  <si>
    <t>NIFTY08JUL2115750PE</t>
  </si>
  <si>
    <t>210708000727438</t>
  </si>
  <si>
    <t>NIFTY08JUL2115700PE</t>
  </si>
  <si>
    <t>39502</t>
  </si>
  <si>
    <t>210708000880089</t>
  </si>
  <si>
    <t>NIFTY08JUL2115850CE</t>
  </si>
  <si>
    <t>210708000880256</t>
  </si>
  <si>
    <t>NIFTY08JUL2115800PE</t>
  </si>
  <si>
    <t>rejected</t>
  </si>
  <si>
    <t>210708000880736</t>
  </si>
  <si>
    <t>39498</t>
  </si>
  <si>
    <t>210708000968560</t>
  </si>
  <si>
    <t>210708000968698</t>
  </si>
  <si>
    <t>NIFTY08JUL2115800CE</t>
  </si>
  <si>
    <t>eyJhbGciOiJIUzUxMiJ9.eyJ0b2tlbiI6IlJFRlJFU0gtVE9LRU4iLCJpYXQiOjE2MjU3Mzg0NDl9.WyCwKwxiipwPHHRbXqDUu9GlD8elteipdm9EmfB-IV8Ed6Qq7l_Ouagyb-yWb-ABRdf9CWAehP3gKTui3EXs2g</t>
  </si>
  <si>
    <t xml:space="preserve"> CE 
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</si>
</sst>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mmmyy"/>
  </numFmts>
  <fonts count="8" x14ac:knownFonts="1">
    <font>
      <sz val="11"/>
      <color theme="1"/>
      <name val="Calibri"/>
      <family val="2"/>
      <scheme val="minor"/>
    </font>
    <font>
      <sz val="10"/>
      <color rgb="FF6C6D6C"/>
      <name val="Courier New"/>
      <family val="3"/>
    </font>
    <font>
      <sz val="10"/>
      <color rgb="FF3B78E7"/>
      <name val="Courier New"/>
      <family val="3"/>
    </font>
    <font>
      <sz val="10"/>
      <color rgb="FF0D904F"/>
      <name val="Courier New"/>
      <family val="3"/>
    </font>
    <font>
      <b/>
      <sz val="11"/>
      <color theme="1"/>
      <name val="Calibri"/>
      <family val="2"/>
      <scheme val="minor"/>
    </font>
    <font>
      <sz val="10"/>
      <color rgb="FFFF0000"/>
      <name val="Courier New"/>
      <family val="3"/>
    </font>
    <font>
      <b/>
      <sz val="11"/>
      <color rgb="FF000000"/>
      <name val="Calibri"/>
      <family val="2"/>
    </font>
    <font>
      <sz val="11"/>
      <color rgb="FF000000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medium">
        <color rgb="FFDEDEDE"/>
      </left>
      <right style="medium">
        <color rgb="FFDEDEDE"/>
      </right>
      <top style="medium">
        <color rgb="FFDEDEDE"/>
      </top>
      <bottom style="medium">
        <color rgb="FFDEDEDE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49" fontId="0" fillId="0" borderId="0" xfId="0" applyNumberFormat="1"/>
    <xf numFmtId="0" fontId="0" fillId="0" borderId="0" xfId="0" applyProtection="1">
      <protection locked="0"/>
    </xf>
    <xf numFmtId="0" fontId="0" fillId="0" borderId="0" xfId="0" applyProtection="1"/>
    <xf numFmtId="49" fontId="0" fillId="0" borderId="0" xfId="0" applyNumberFormat="1" applyProtection="1">
      <protection locked="0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49" fontId="4" fillId="0" borderId="0" xfId="0" applyNumberFormat="1" applyFont="1" applyAlignment="1">
      <alignment vertical="center"/>
    </xf>
    <xf numFmtId="0" fontId="0" fillId="0" borderId="0" xfId="0" applyNumberFormat="1"/>
    <xf numFmtId="0" fontId="4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4" fillId="0" borderId="0" xfId="0" applyNumberFormat="1" applyFont="1" applyAlignment="1">
      <alignment horizontal="center" vertical="center" wrapText="1"/>
    </xf>
    <xf numFmtId="164" fontId="0" fillId="0" borderId="0" xfId="0" applyNumberFormat="1" applyProtection="1">
      <protection locked="0"/>
    </xf>
    <xf numFmtId="0" fontId="4" fillId="0" borderId="0" xfId="0" applyFont="1"/>
    <xf numFmtId="0" fontId="0" fillId="3" borderId="0" xfId="0" applyFill="1" applyProtection="1"/>
    <xf numFmtId="0" fontId="0" fillId="4" borderId="0" xfId="0" applyFill="1"/>
    <xf numFmtId="0" fontId="0" fillId="4" borderId="0" xfId="0" applyNumberFormat="1" applyFill="1"/>
    <xf numFmtId="0" fontId="0" fillId="5" borderId="0" xfId="0" applyFill="1"/>
    <xf numFmtId="0" fontId="0" fillId="6" borderId="0" xfId="0" applyFill="1"/>
    <xf numFmtId="0" fontId="0" fillId="3" borderId="0" xfId="0" applyNumberFormat="1" applyFill="1"/>
    <xf numFmtId="0" fontId="0" fillId="0" borderId="0" xfId="0" applyAlignment="1">
      <alignment wrapText="1"/>
    </xf>
    <xf numFmtId="0" fontId="4" fillId="0" borderId="0" xfId="0" applyFon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28575</xdr:rowOff>
        </xdr:from>
        <xdr:to>
          <xdr:col>2</xdr:col>
          <xdr:colOff>533400</xdr:colOff>
          <xdr:row>1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NFO Instruments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209550</xdr:colOff>
          <xdr:row>0</xdr:row>
          <xdr:rowOff>38100</xdr:rowOff>
        </xdr:from>
        <xdr:to>
          <xdr:col>6</xdr:col>
          <xdr:colOff>19049</xdr:colOff>
          <xdr:row>2</xdr:row>
          <xdr:rowOff>76200</xdr:rowOff>
        </xdr:to>
        <xdr:sp macro="" textlink="">
          <xdr:nvSpPr>
            <xdr:cNvPr id="1037" name="LiveFee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161925</xdr:colOff>
          <xdr:row>0</xdr:row>
          <xdr:rowOff>28575</xdr:rowOff>
        </xdr:from>
        <xdr:to>
          <xdr:col>18</xdr:col>
          <xdr:colOff>552450</xdr:colOff>
          <xdr:row>1</xdr:row>
          <xdr:rowOff>104775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Stop Loss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51"/>
  <sheetViews>
    <sheetView tabSelected="1" topLeftCell="B1" zoomScale="90" zoomScaleNormal="90" workbookViewId="0">
      <selection activeCell="B16" sqref="B16"/>
    </sheetView>
  </sheetViews>
  <sheetFormatPr defaultRowHeight="15" x14ac:dyDescent="0.25"/>
  <cols>
    <col min="1" max="1" width="6.7109375" style="7" hidden="1" customWidth="1"/>
    <col min="2" max="2" width="8.5703125" style="7" customWidth="1"/>
    <col min="3" max="3" width="9.5703125" style="9" customWidth="1"/>
    <col min="4" max="4" width="9.140625" style="7"/>
    <col min="5" max="5" width="20.28515625" style="8" bestFit="1" customWidth="1"/>
    <col min="6" max="6" width="9.28515625" bestFit="1" customWidth="1"/>
    <col min="7" max="7" width="9.42578125" style="6" customWidth="1"/>
    <col min="9" max="9" width="11" bestFit="1" customWidth="1"/>
    <col min="11" max="11" width="13.140625" customWidth="1"/>
    <col min="12" max="12" width="13.7109375" style="13" bestFit="1" customWidth="1"/>
    <col min="13" max="13" width="10.42578125" style="13" bestFit="1" customWidth="1"/>
    <col min="14" max="14" width="9.42578125" style="13" bestFit="1" customWidth="1"/>
    <col min="16" max="16" width="9.5703125" bestFit="1" customWidth="1"/>
    <col min="20" max="20" width="31.42578125" bestFit="1" customWidth="1"/>
  </cols>
  <sheetData>
    <row r="1" spans="1:20" x14ac:dyDescent="0.25">
      <c r="A1"/>
      <c r="B1"/>
      <c r="C1" s="6"/>
      <c r="D1"/>
      <c r="E1"/>
      <c r="M1" s="21" t="s">
        <v>88</v>
      </c>
      <c r="N1" s="6">
        <f>SUM(P5:P23)</f>
        <v>0</v>
      </c>
      <c r="P1" s="20" t="s">
        <v>90</v>
      </c>
      <c r="Q1">
        <v>-15000</v>
      </c>
    </row>
    <row r="2" spans="1:20" ht="15.75" thickBot="1" x14ac:dyDescent="0.3">
      <c r="A2"/>
      <c r="B2"/>
      <c r="C2" s="6"/>
      <c r="D2"/>
      <c r="E2"/>
    </row>
    <row r="3" spans="1:20" ht="15.75" thickBot="1" x14ac:dyDescent="0.3">
      <c r="A3"/>
      <c r="B3"/>
      <c r="C3"/>
      <c r="D3"/>
      <c r="E3"/>
      <c r="G3"/>
      <c r="L3"/>
      <c r="M3">
        <f>COLUMN()</f>
        <v>13</v>
      </c>
      <c r="N3">
        <f>COLUMN()</f>
        <v>14</v>
      </c>
      <c r="O3">
        <f>COLUMN()</f>
        <v>15</v>
      </c>
      <c r="T3" s="1" t="s">
        <v>0</v>
      </c>
    </row>
    <row r="4" spans="1:20" ht="33" customHeight="1" thickBot="1" x14ac:dyDescent="0.3">
      <c r="A4" s="11" t="s">
        <v>17</v>
      </c>
      <c r="B4" s="11" t="s">
        <v>16</v>
      </c>
      <c r="C4" s="12" t="s">
        <v>18</v>
      </c>
      <c r="D4" s="26" t="s">
        <v>114</v>
      </c>
      <c r="E4" s="4" t="s">
        <v>11</v>
      </c>
      <c r="F4" s="4" t="s">
        <v>14</v>
      </c>
      <c r="G4" s="10" t="s">
        <v>10</v>
      </c>
      <c r="H4" s="4" t="s">
        <v>9</v>
      </c>
      <c r="I4" s="4" t="s">
        <v>13</v>
      </c>
      <c r="J4" s="4" t="s">
        <v>12</v>
      </c>
      <c r="K4" s="5" t="s">
        <v>21</v>
      </c>
      <c r="L4" s="14" t="s">
        <v>93</v>
      </c>
      <c r="M4" s="16" t="s">
        <v>94</v>
      </c>
      <c r="N4" s="16" t="s">
        <v>89</v>
      </c>
      <c r="O4" s="4" t="s">
        <v>73</v>
      </c>
      <c r="P4" s="4" t="s">
        <v>74</v>
      </c>
      <c r="T4" s="2" t="s">
        <v>5</v>
      </c>
    </row>
    <row r="5" spans="1:20" ht="15.75" thickBot="1" x14ac:dyDescent="0.3">
      <c r="A5" s="7" t="s">
        <v>19</v>
      </c>
      <c r="B5" s="7">
        <v>15700</v>
      </c>
      <c r="C5" s="17">
        <v>44385</v>
      </c>
      <c r="D5" s="7" t="s">
        <v>95</v>
      </c>
      <c r="E5" s="19" t="str">
        <f>A5&amp;UPPER(IF(C5="","",TEXT(C5,"DDMMMYY")))&amp;B5&amp;D5</f>
        <v>NIFTY08JUL2115700PE</v>
      </c>
      <c r="F5" t="s">
        <v>15</v>
      </c>
      <c r="G5" s="6" t="s">
        <v>96</v>
      </c>
      <c r="H5">
        <v>75</v>
      </c>
      <c r="I5" s="22" t="s">
        <v>22</v>
      </c>
      <c r="J5" s="22">
        <v>6</v>
      </c>
      <c r="K5" s="23"/>
      <c r="O5" s="13"/>
      <c r="P5" s="24">
        <f>IF(ISBLANK(O5),(L5*N5)-(L5*M5),(L5*O5)-(L5*M5))</f>
        <v>0</v>
      </c>
      <c r="R5">
        <v>75</v>
      </c>
      <c r="S5">
        <v>50</v>
      </c>
      <c r="T5" s="2" t="s">
        <v>6</v>
      </c>
    </row>
    <row r="6" spans="1:20" ht="15.75" thickBot="1" x14ac:dyDescent="0.3">
      <c r="A6" s="7" t="s">
        <v>19</v>
      </c>
      <c r="B6" s="7">
        <v>15750</v>
      </c>
      <c r="C6" s="17">
        <v>44385</v>
      </c>
      <c r="D6" s="7" t="s">
        <v>95</v>
      </c>
      <c r="E6" s="19" t="str">
        <f>A6&amp;UPPER(IF(C6="","",TEXT(C6,"DDMMMYY")))&amp;B6&amp;D6</f>
        <v>NIFTY08JUL2115750PE</v>
      </c>
      <c r="F6" t="s">
        <v>15</v>
      </c>
      <c r="G6" s="6" t="s">
        <v>97</v>
      </c>
      <c r="H6">
        <v>75</v>
      </c>
      <c r="I6" s="22" t="s">
        <v>23</v>
      </c>
      <c r="J6" s="22">
        <v>6</v>
      </c>
      <c r="K6" s="23"/>
      <c r="O6" s="13"/>
      <c r="P6" s="24">
        <f t="shared" ref="P6:P23" si="0">IF(ISBLANK(O6),(L6*N6)-(L6*M6),(L6*O6)-(L6*M6))</f>
        <v>0</v>
      </c>
      <c r="R6">
        <v>150</v>
      </c>
      <c r="S6">
        <v>60</v>
      </c>
      <c r="T6" s="2" t="s">
        <v>7</v>
      </c>
    </row>
    <row r="7" spans="1:20" ht="15.75" thickBot="1" x14ac:dyDescent="0.3">
      <c r="A7" s="7" t="s">
        <v>19</v>
      </c>
      <c r="B7" s="7">
        <v>15850</v>
      </c>
      <c r="C7" s="17">
        <v>44385</v>
      </c>
      <c r="D7" s="7" t="s">
        <v>20</v>
      </c>
      <c r="E7" s="19" t="str">
        <f t="shared" ref="E7:E23" si="1">A7&amp;UPPER(IF(C7="","",TEXT(C7,"DDMMMYY")))&amp;B7&amp;D7</f>
        <v>NIFTY08JUL2115850CE</v>
      </c>
      <c r="F7" t="s">
        <v>15</v>
      </c>
      <c r="G7" s="6" t="s">
        <v>102</v>
      </c>
      <c r="H7">
        <v>75</v>
      </c>
      <c r="I7" s="22" t="s">
        <v>23</v>
      </c>
      <c r="J7" s="22">
        <v>6</v>
      </c>
      <c r="K7" s="23"/>
      <c r="P7" s="24">
        <f t="shared" si="0"/>
        <v>0</v>
      </c>
      <c r="T7" s="2"/>
    </row>
    <row r="8" spans="1:20" ht="15.75" thickBot="1" x14ac:dyDescent="0.3">
      <c r="A8" s="7" t="s">
        <v>19</v>
      </c>
      <c r="B8" s="7">
        <v>15800</v>
      </c>
      <c r="C8" s="17">
        <v>44385</v>
      </c>
      <c r="D8" s="7" t="s">
        <v>95</v>
      </c>
      <c r="E8" s="19" t="str">
        <f t="shared" si="1"/>
        <v>NIFTY08JUL2115800PE</v>
      </c>
      <c r="F8" t="s">
        <v>15</v>
      </c>
      <c r="G8" s="6" t="s">
        <v>109</v>
      </c>
      <c r="H8">
        <v>75</v>
      </c>
      <c r="I8" s="22" t="s">
        <v>22</v>
      </c>
      <c r="J8" s="22">
        <v>6</v>
      </c>
      <c r="K8" s="23"/>
      <c r="P8" s="24">
        <f t="shared" si="0"/>
        <v>0</v>
      </c>
      <c r="T8" s="3" t="s">
        <v>1</v>
      </c>
    </row>
    <row r="9" spans="1:20" ht="15.75" thickBot="1" x14ac:dyDescent="0.3">
      <c r="C9" s="17"/>
      <c r="E9" s="19" t="str">
        <f t="shared" si="1"/>
        <v/>
      </c>
      <c r="I9" s="22"/>
      <c r="J9" s="22"/>
      <c r="K9" s="23"/>
      <c r="P9" s="24">
        <f t="shared" si="0"/>
        <v>0</v>
      </c>
      <c r="T9" s="1" t="s">
        <v>2</v>
      </c>
    </row>
    <row r="10" spans="1:20" ht="15.75" thickBot="1" x14ac:dyDescent="0.3">
      <c r="C10" s="17"/>
      <c r="E10" s="19" t="str">
        <f t="shared" si="1"/>
        <v/>
      </c>
      <c r="I10" s="22"/>
      <c r="J10" s="22"/>
      <c r="K10" s="23"/>
      <c r="P10" s="24">
        <f t="shared" si="0"/>
        <v>0</v>
      </c>
      <c r="T10" s="3" t="s">
        <v>3</v>
      </c>
    </row>
    <row r="11" spans="1:20" ht="15.75" thickBot="1" x14ac:dyDescent="0.3">
      <c r="C11" s="17"/>
      <c r="E11" s="19" t="str">
        <f t="shared" si="1"/>
        <v/>
      </c>
      <c r="I11" s="22"/>
      <c r="J11" s="22"/>
      <c r="K11" s="23"/>
      <c r="P11" s="24">
        <f t="shared" si="0"/>
        <v>0</v>
      </c>
      <c r="T11" s="1" t="s">
        <v>4</v>
      </c>
    </row>
    <row r="12" spans="1:20" ht="15.75" thickBot="1" x14ac:dyDescent="0.3">
      <c r="C12" s="17"/>
      <c r="E12" s="19" t="str">
        <f t="shared" si="1"/>
        <v/>
      </c>
      <c r="I12" s="22"/>
      <c r="J12" s="22"/>
      <c r="K12" s="23"/>
      <c r="P12" s="24">
        <f t="shared" si="0"/>
        <v>0</v>
      </c>
      <c r="T12" s="2" t="s">
        <v>8</v>
      </c>
    </row>
    <row r="13" spans="1:20" x14ac:dyDescent="0.25">
      <c r="C13" s="17"/>
      <c r="E13" s="19" t="str">
        <f t="shared" si="1"/>
        <v/>
      </c>
      <c r="I13" s="22"/>
      <c r="J13" s="22"/>
      <c r="K13" s="23"/>
      <c r="P13" s="24">
        <f t="shared" si="0"/>
        <v>0</v>
      </c>
    </row>
    <row r="14" spans="1:20" x14ac:dyDescent="0.25">
      <c r="C14" s="17"/>
      <c r="E14" s="19" t="str">
        <f t="shared" si="1"/>
        <v/>
      </c>
      <c r="I14" s="22"/>
      <c r="J14" s="22"/>
      <c r="K14" s="23"/>
      <c r="O14" s="13"/>
      <c r="P14" s="24">
        <f t="shared" si="0"/>
        <v>0</v>
      </c>
    </row>
    <row r="15" spans="1:20" x14ac:dyDescent="0.25">
      <c r="C15" s="17"/>
      <c r="E15" s="19" t="str">
        <f t="shared" si="1"/>
        <v/>
      </c>
      <c r="I15" s="22"/>
      <c r="J15" s="22"/>
      <c r="K15" s="23"/>
      <c r="O15" s="13"/>
      <c r="P15" s="24">
        <f t="shared" si="0"/>
        <v>0</v>
      </c>
    </row>
    <row r="16" spans="1:20" x14ac:dyDescent="0.25">
      <c r="C16" s="17"/>
      <c r="E16" s="19" t="str">
        <f t="shared" si="1"/>
        <v/>
      </c>
      <c r="I16" s="22"/>
      <c r="J16" s="22"/>
      <c r="K16" s="23"/>
      <c r="P16" s="24">
        <f t="shared" si="0"/>
        <v>0</v>
      </c>
    </row>
    <row r="17" spans="3:20" x14ac:dyDescent="0.25">
      <c r="C17" s="17"/>
      <c r="E17" s="19" t="str">
        <f t="shared" si="1"/>
        <v/>
      </c>
      <c r="I17" s="22"/>
      <c r="J17" s="22"/>
      <c r="K17" s="23"/>
      <c r="P17" s="24">
        <f t="shared" si="0"/>
        <v>0</v>
      </c>
      <c r="T17" s="15" t="s">
        <v>24</v>
      </c>
    </row>
    <row r="18" spans="3:20" x14ac:dyDescent="0.25">
      <c r="C18" s="17"/>
      <c r="E18" s="19" t="str">
        <f t="shared" si="1"/>
        <v/>
      </c>
      <c r="I18" s="22"/>
      <c r="J18" s="22"/>
      <c r="K18" s="23"/>
      <c r="P18" s="24">
        <f t="shared" si="0"/>
        <v>0</v>
      </c>
      <c r="T18" s="15" t="s">
        <v>25</v>
      </c>
    </row>
    <row r="19" spans="3:20" x14ac:dyDescent="0.25">
      <c r="C19" s="17"/>
      <c r="E19" s="19" t="str">
        <f t="shared" si="1"/>
        <v/>
      </c>
      <c r="I19" s="22"/>
      <c r="J19" s="22"/>
      <c r="K19" s="23"/>
      <c r="P19" s="24">
        <f t="shared" si="0"/>
        <v>0</v>
      </c>
      <c r="T19" s="15" t="s">
        <v>26</v>
      </c>
    </row>
    <row r="20" spans="3:20" x14ac:dyDescent="0.25">
      <c r="C20" s="17"/>
      <c r="E20" s="19" t="str">
        <f t="shared" si="1"/>
        <v/>
      </c>
      <c r="I20" s="22"/>
      <c r="J20" s="22"/>
      <c r="K20" s="23"/>
      <c r="P20" s="24">
        <f t="shared" si="0"/>
        <v>0</v>
      </c>
      <c r="T20" s="15" t="s">
        <v>27</v>
      </c>
    </row>
    <row r="21" spans="3:20" x14ac:dyDescent="0.25">
      <c r="C21" s="17"/>
      <c r="E21" s="19" t="str">
        <f t="shared" si="1"/>
        <v/>
      </c>
      <c r="I21" s="22"/>
      <c r="J21" s="22"/>
      <c r="K21" s="23"/>
      <c r="P21" s="24">
        <f t="shared" si="0"/>
        <v>0</v>
      </c>
      <c r="T21" s="15" t="s">
        <v>28</v>
      </c>
    </row>
    <row r="22" spans="3:20" x14ac:dyDescent="0.25">
      <c r="C22" s="17"/>
      <c r="E22" s="19" t="str">
        <f t="shared" si="1"/>
        <v/>
      </c>
      <c r="I22" s="22"/>
      <c r="J22" s="22"/>
      <c r="K22" s="23"/>
      <c r="P22" s="24">
        <f t="shared" si="0"/>
        <v>0</v>
      </c>
      <c r="T22" s="15" t="s">
        <v>29</v>
      </c>
    </row>
    <row r="23" spans="3:20" x14ac:dyDescent="0.25">
      <c r="C23" s="17"/>
      <c r="E23" s="19" t="str">
        <f t="shared" si="1"/>
        <v/>
      </c>
      <c r="I23" s="22"/>
      <c r="J23" s="22"/>
      <c r="K23" s="23"/>
      <c r="P23" s="24">
        <f t="shared" si="0"/>
        <v>0</v>
      </c>
      <c r="T23" s="15" t="s">
        <v>30</v>
      </c>
    </row>
    <row r="24" spans="3:20" x14ac:dyDescent="0.25">
      <c r="C24" s="17"/>
      <c r="T24" s="15" t="s">
        <v>31</v>
      </c>
    </row>
    <row r="25" spans="3:20" x14ac:dyDescent="0.25">
      <c r="C25" s="17"/>
      <c r="T25" s="15" t="s">
        <v>32</v>
      </c>
    </row>
    <row r="26" spans="3:20" x14ac:dyDescent="0.25">
      <c r="C26" s="17"/>
      <c r="T26" s="15" t="s">
        <v>33</v>
      </c>
    </row>
    <row r="27" spans="3:20" x14ac:dyDescent="0.25">
      <c r="C27" s="17"/>
      <c r="T27" s="15" t="s">
        <v>34</v>
      </c>
    </row>
    <row r="28" spans="3:20" x14ac:dyDescent="0.25">
      <c r="C28" s="17"/>
      <c r="T28" s="15" t="s">
        <v>35</v>
      </c>
    </row>
    <row r="29" spans="3:20" x14ac:dyDescent="0.25">
      <c r="C29" s="17"/>
      <c r="T29" s="15" t="s">
        <v>36</v>
      </c>
    </row>
    <row r="30" spans="3:20" x14ac:dyDescent="0.25">
      <c r="C30" s="17"/>
      <c r="T30" s="15" t="s">
        <v>37</v>
      </c>
    </row>
    <row r="31" spans="3:20" x14ac:dyDescent="0.25">
      <c r="C31" s="17"/>
      <c r="T31" s="15" t="s">
        <v>38</v>
      </c>
    </row>
    <row r="32" spans="3:20" x14ac:dyDescent="0.25">
      <c r="C32" s="17"/>
      <c r="T32" s="15" t="s">
        <v>39</v>
      </c>
    </row>
    <row r="33" spans="3:20" x14ac:dyDescent="0.25">
      <c r="C33" s="17"/>
      <c r="T33" s="15" t="s">
        <v>40</v>
      </c>
    </row>
    <row r="34" spans="3:20" x14ac:dyDescent="0.25">
      <c r="C34" s="17"/>
      <c r="T34" s="15" t="s">
        <v>41</v>
      </c>
    </row>
    <row r="35" spans="3:20" x14ac:dyDescent="0.25">
      <c r="T35" s="15" t="s">
        <v>42</v>
      </c>
    </row>
    <row r="36" spans="3:20" x14ac:dyDescent="0.25">
      <c r="T36" s="15" t="s">
        <v>43</v>
      </c>
    </row>
    <row r="37" spans="3:20" x14ac:dyDescent="0.25">
      <c r="T37" s="15" t="s">
        <v>44</v>
      </c>
    </row>
    <row r="38" spans="3:20" x14ac:dyDescent="0.25">
      <c r="T38" s="15" t="s">
        <v>45</v>
      </c>
    </row>
    <row r="39" spans="3:20" x14ac:dyDescent="0.25">
      <c r="T39" s="15" t="s">
        <v>46</v>
      </c>
    </row>
    <row r="40" spans="3:20" x14ac:dyDescent="0.25">
      <c r="T40" s="15" t="s">
        <v>47</v>
      </c>
    </row>
    <row r="41" spans="3:20" x14ac:dyDescent="0.25">
      <c r="T41" s="15" t="s">
        <v>48</v>
      </c>
    </row>
    <row r="42" spans="3:20" x14ac:dyDescent="0.25">
      <c r="T42" s="15" t="s">
        <v>49</v>
      </c>
    </row>
    <row r="43" spans="3:20" x14ac:dyDescent="0.25">
      <c r="T43" s="15" t="s">
        <v>50</v>
      </c>
    </row>
    <row r="44" spans="3:20" x14ac:dyDescent="0.25">
      <c r="T44" s="15" t="s">
        <v>51</v>
      </c>
    </row>
    <row r="45" spans="3:20" x14ac:dyDescent="0.25">
      <c r="T45" s="15" t="s">
        <v>52</v>
      </c>
    </row>
    <row r="46" spans="3:20" x14ac:dyDescent="0.25">
      <c r="T46" s="15" t="s">
        <v>53</v>
      </c>
    </row>
    <row r="47" spans="3:20" x14ac:dyDescent="0.25">
      <c r="T47" s="15" t="s">
        <v>54</v>
      </c>
    </row>
    <row r="48" spans="3:20" x14ac:dyDescent="0.25">
      <c r="T48" s="15" t="s">
        <v>55</v>
      </c>
    </row>
    <row r="49" spans="20:20" x14ac:dyDescent="0.25">
      <c r="T49" s="15" t="s">
        <v>56</v>
      </c>
    </row>
    <row r="50" spans="20:20" x14ac:dyDescent="0.25">
      <c r="T50" s="15" t="s">
        <v>57</v>
      </c>
    </row>
    <row r="51" spans="20:20" x14ac:dyDescent="0.25">
      <c r="T51" s="15" t="s">
        <v>58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LiveFeed">
          <controlPr defaultSize="0" autoLine="0" r:id="rId5">
            <anchor moveWithCells="1">
              <from>
                <xdr:col>4</xdr:col>
                <xdr:colOff>209550</xdr:colOff>
                <xdr:row>0</xdr:row>
                <xdr:rowOff>38100</xdr:rowOff>
              </from>
              <to>
                <xdr:col>6</xdr:col>
                <xdr:colOff>19050</xdr:colOff>
                <xdr:row>2</xdr:row>
                <xdr:rowOff>76200</xdr:rowOff>
              </to>
            </anchor>
          </controlPr>
        </control>
      </mc:Choice>
      <mc:Fallback>
        <control shapeId="1037" r:id="rId4" name="LiveFeed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generate_instruments">
            <anchor moveWithCells="1" sizeWithCells="1">
              <from>
                <xdr:col>0</xdr:col>
                <xdr:colOff>0</xdr:colOff>
                <xdr:row>0</xdr:row>
                <xdr:rowOff>28575</xdr:rowOff>
              </from>
              <to>
                <xdr:col>2</xdr:col>
                <xdr:colOff>533400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" name="Button 15">
          <controlPr defaultSize="0" print="0" autoFill="0" autoPict="0" macro="[0]!set_stop_loss">
            <anchor moveWithCells="1" sizeWithCells="1">
              <from>
                <xdr:col>17</xdr:col>
                <xdr:colOff>161925</xdr:colOff>
                <xdr:row>0</xdr:row>
                <xdr:rowOff>28575</xdr:rowOff>
              </from>
              <to>
                <xdr:col>18</xdr:col>
                <xdr:colOff>552450</xdr:colOff>
                <xdr:row>1</xdr:row>
                <xdr:rowOff>104775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CONFIG!$N$2:$N$3</xm:f>
          </x14:formula1>
          <xm:sqref>I5:I23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5"/>
  <sheetViews>
    <sheetView workbookViewId="0">
      <selection activeCell="A14" sqref="A14"/>
    </sheetView>
  </sheetViews>
  <sheetFormatPr defaultRowHeight="15" x14ac:dyDescent="0.25"/>
  <cols>
    <col min="1" max="1" width="23.28515625" style="6" customWidth="1"/>
    <col min="2" max="2" width="21.5703125" style="6" customWidth="1"/>
    <col min="3" max="3" width="18" style="13" customWidth="1"/>
    <col min="5" max="5" width="11" bestFit="1" customWidth="1"/>
    <col min="6" max="6" width="13.85546875" customWidth="1"/>
  </cols>
  <sheetData>
    <row r="1" spans="1:14" x14ac:dyDescent="0.25">
      <c r="A1" s="6" t="s">
        <v>59</v>
      </c>
      <c r="B1" s="6" t="s">
        <v>60</v>
      </c>
      <c r="C1" s="13" t="s">
        <v>61</v>
      </c>
      <c r="D1" t="s">
        <v>62</v>
      </c>
      <c r="E1" t="s">
        <v>13</v>
      </c>
      <c r="F1" t="s">
        <v>63</v>
      </c>
      <c r="N1" s="15" t="s">
        <v>24</v>
      </c>
    </row>
    <row r="2" spans="1:14" x14ac:dyDescent="0.25">
      <c r="A2" s="6" t="s">
        <v>98</v>
      </c>
      <c r="B2" s="6" t="s">
        <v>99</v>
      </c>
      <c r="C2" s="13">
        <v>14.05</v>
      </c>
      <c r="D2">
        <v>6</v>
      </c>
      <c r="E2" t="s">
        <v>23</v>
      </c>
      <c r="F2" t="s">
        <v>92</v>
      </c>
      <c r="N2" s="15" t="s">
        <v>25</v>
      </c>
    </row>
    <row r="3" spans="1:14" x14ac:dyDescent="0.25">
      <c r="A3" s="6" t="s">
        <v>100</v>
      </c>
      <c r="B3" s="6" t="s">
        <v>101</v>
      </c>
      <c r="C3" s="13">
        <v>5.25</v>
      </c>
      <c r="D3">
        <v>6</v>
      </c>
      <c r="E3" t="s">
        <v>22</v>
      </c>
      <c r="F3" t="s">
        <v>92</v>
      </c>
      <c r="N3" s="15" t="s">
        <v>26</v>
      </c>
    </row>
    <row r="4" spans="1:14" x14ac:dyDescent="0.25">
      <c r="A4" s="6" t="s">
        <v>103</v>
      </c>
      <c r="B4" s="6" t="s">
        <v>104</v>
      </c>
      <c r="C4" s="13">
        <v>4.1500000000000004</v>
      </c>
      <c r="D4">
        <v>6</v>
      </c>
      <c r="E4" t="s">
        <v>23</v>
      </c>
      <c r="F4" t="s">
        <v>92</v>
      </c>
      <c r="N4" s="15" t="s">
        <v>27</v>
      </c>
    </row>
    <row r="5" spans="1:14" x14ac:dyDescent="0.25">
      <c r="A5" s="6" t="s">
        <v>105</v>
      </c>
      <c r="B5" s="6" t="s">
        <v>106</v>
      </c>
      <c r="C5" s="13">
        <v>0</v>
      </c>
      <c r="D5">
        <v>6</v>
      </c>
      <c r="E5" t="s">
        <v>22</v>
      </c>
      <c r="F5" t="s">
        <v>107</v>
      </c>
      <c r="N5" s="15" t="s">
        <v>28</v>
      </c>
    </row>
    <row r="6" spans="1:14" x14ac:dyDescent="0.25">
      <c r="A6" s="6" t="s">
        <v>108</v>
      </c>
      <c r="B6" s="6" t="s">
        <v>106</v>
      </c>
      <c r="C6" s="13">
        <v>0</v>
      </c>
      <c r="D6">
        <v>6</v>
      </c>
      <c r="E6" t="s">
        <v>22</v>
      </c>
      <c r="F6" t="s">
        <v>107</v>
      </c>
      <c r="N6" s="15" t="s">
        <v>29</v>
      </c>
    </row>
    <row r="7" spans="1:14" x14ac:dyDescent="0.25">
      <c r="A7" s="6" t="s">
        <v>110</v>
      </c>
      <c r="B7" s="6" t="s">
        <v>101</v>
      </c>
      <c r="C7" s="13">
        <v>6.4</v>
      </c>
      <c r="D7">
        <v>6</v>
      </c>
      <c r="E7" t="s">
        <v>22</v>
      </c>
      <c r="F7" t="s">
        <v>92</v>
      </c>
      <c r="N7" s="15" t="s">
        <v>30</v>
      </c>
    </row>
    <row r="8" spans="1:14" x14ac:dyDescent="0.25">
      <c r="A8" s="6" t="s">
        <v>111</v>
      </c>
      <c r="B8" s="6" t="s">
        <v>112</v>
      </c>
      <c r="C8" s="13">
        <v>8.5500000000000007</v>
      </c>
      <c r="D8">
        <v>6</v>
      </c>
      <c r="E8" t="s">
        <v>22</v>
      </c>
      <c r="F8" t="s">
        <v>92</v>
      </c>
      <c r="N8" s="15" t="s">
        <v>31</v>
      </c>
    </row>
    <row r="9" spans="1:14" x14ac:dyDescent="0.25">
      <c r="N9" s="15" t="s">
        <v>32</v>
      </c>
    </row>
    <row r="10" spans="1:14" x14ac:dyDescent="0.25">
      <c r="N10" s="15" t="s">
        <v>33</v>
      </c>
    </row>
    <row r="11" spans="1:14" x14ac:dyDescent="0.25">
      <c r="N11" s="15" t="s">
        <v>34</v>
      </c>
    </row>
    <row r="12" spans="1:14" x14ac:dyDescent="0.25">
      <c r="N12" s="15" t="s">
        <v>35</v>
      </c>
    </row>
    <row r="13" spans="1:14" x14ac:dyDescent="0.25">
      <c r="N13" s="15" t="s">
        <v>36</v>
      </c>
    </row>
    <row r="14" spans="1:14" x14ac:dyDescent="0.25">
      <c r="N14" s="15" t="s">
        <v>37</v>
      </c>
    </row>
    <row r="15" spans="1:14" x14ac:dyDescent="0.25">
      <c r="N15" s="15" t="s">
        <v>38</v>
      </c>
    </row>
    <row r="16" spans="1:14" x14ac:dyDescent="0.25">
      <c r="N16" s="15" t="s">
        <v>39</v>
      </c>
    </row>
    <row r="17" spans="14:14" x14ac:dyDescent="0.25">
      <c r="N17" s="15" t="s">
        <v>40</v>
      </c>
    </row>
    <row r="18" spans="14:14" x14ac:dyDescent="0.25">
      <c r="N18" s="15" t="s">
        <v>41</v>
      </c>
    </row>
    <row r="19" spans="14:14" x14ac:dyDescent="0.25">
      <c r="N19" s="15" t="s">
        <v>42</v>
      </c>
    </row>
    <row r="20" spans="14:14" x14ac:dyDescent="0.25">
      <c r="N20" s="15" t="s">
        <v>43</v>
      </c>
    </row>
    <row r="21" spans="14:14" x14ac:dyDescent="0.25">
      <c r="N21" s="15" t="s">
        <v>44</v>
      </c>
    </row>
    <row r="22" spans="14:14" x14ac:dyDescent="0.25">
      <c r="N22" s="15" t="s">
        <v>45</v>
      </c>
    </row>
    <row r="23" spans="14:14" x14ac:dyDescent="0.25">
      <c r="N23" s="15" t="s">
        <v>46</v>
      </c>
    </row>
    <row r="24" spans="14:14" x14ac:dyDescent="0.25">
      <c r="N24" s="15" t="s">
        <v>47</v>
      </c>
    </row>
    <row r="25" spans="14:14" x14ac:dyDescent="0.25">
      <c r="N25" s="15" t="s">
        <v>48</v>
      </c>
    </row>
    <row r="26" spans="14:14" x14ac:dyDescent="0.25">
      <c r="N26" s="15" t="s">
        <v>49</v>
      </c>
    </row>
    <row r="27" spans="14:14" x14ac:dyDescent="0.25">
      <c r="N27" s="15" t="s">
        <v>50</v>
      </c>
    </row>
    <row r="28" spans="14:14" x14ac:dyDescent="0.25">
      <c r="N28" s="15" t="s">
        <v>51</v>
      </c>
    </row>
    <row r="29" spans="14:14" x14ac:dyDescent="0.25">
      <c r="N29" s="15" t="s">
        <v>52</v>
      </c>
    </row>
    <row r="30" spans="14:14" x14ac:dyDescent="0.25">
      <c r="N30" s="15" t="s">
        <v>53</v>
      </c>
    </row>
    <row r="31" spans="14:14" x14ac:dyDescent="0.25">
      <c r="N31" s="15" t="s">
        <v>54</v>
      </c>
    </row>
    <row r="32" spans="14:14" x14ac:dyDescent="0.25">
      <c r="N32" s="15" t="s">
        <v>55</v>
      </c>
    </row>
    <row r="33" spans="14:14" x14ac:dyDescent="0.25">
      <c r="N33" s="15" t="s">
        <v>56</v>
      </c>
    </row>
    <row r="34" spans="14:14" x14ac:dyDescent="0.25">
      <c r="N34" s="15" t="s">
        <v>57</v>
      </c>
    </row>
    <row r="35" spans="14:14" x14ac:dyDescent="0.25">
      <c r="N35" s="15" t="s">
        <v>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57"/>
  <sheetViews>
    <sheetView workbookViewId="0">
      <selection activeCell="C17" sqref="C17"/>
    </sheetView>
  </sheetViews>
  <sheetFormatPr defaultRowHeight="15" x14ac:dyDescent="0.25"/>
  <cols>
    <col min="1" max="1" width="15.140625" bestFit="1" customWidth="1"/>
    <col min="2" max="2" width="9.85546875" bestFit="1" customWidth="1"/>
    <col min="6" max="6" width="10" bestFit="1" customWidth="1"/>
  </cols>
  <sheetData>
    <row r="1" spans="1:15" x14ac:dyDescent="0.25">
      <c r="A1" t="s">
        <v>71</v>
      </c>
      <c r="B1" t="s">
        <v>64</v>
      </c>
      <c r="G1" s="20" t="s">
        <v>87</v>
      </c>
    </row>
    <row r="2" spans="1:15" x14ac:dyDescent="0.25">
      <c r="A2" t="s">
        <v>65</v>
      </c>
      <c r="B2" t="s">
        <v>66</v>
      </c>
      <c r="K2" t="s">
        <v>87</v>
      </c>
      <c r="N2" t="s">
        <v>23</v>
      </c>
    </row>
    <row r="3" spans="1:15" x14ac:dyDescent="0.25">
      <c r="A3" t="s">
        <v>67</v>
      </c>
      <c r="B3" t="s">
        <v>68</v>
      </c>
      <c r="N3" t="s">
        <v>22</v>
      </c>
    </row>
    <row r="5" spans="1:15" x14ac:dyDescent="0.25">
      <c r="A5" t="s">
        <v>69</v>
      </c>
      <c r="B5" t="s">
        <v>113</v>
      </c>
    </row>
    <row r="6" spans="1:15" x14ac:dyDescent="0.25">
      <c r="A6" t="s">
        <v>70</v>
      </c>
      <c r="B6">
        <v>935025817</v>
      </c>
    </row>
    <row r="8" spans="1:15" x14ac:dyDescent="0.25">
      <c r="F8" s="6"/>
    </row>
    <row r="9" spans="1:15" x14ac:dyDescent="0.25">
      <c r="A9" t="s">
        <v>72</v>
      </c>
      <c r="B9" t="b">
        <v>0</v>
      </c>
      <c r="N9" s="18" t="s">
        <v>14</v>
      </c>
      <c r="O9" s="18" t="s">
        <v>75</v>
      </c>
    </row>
    <row r="10" spans="1:15" x14ac:dyDescent="0.25">
      <c r="N10" t="s">
        <v>76</v>
      </c>
      <c r="O10" t="s">
        <v>77</v>
      </c>
    </row>
    <row r="11" spans="1:15" x14ac:dyDescent="0.25">
      <c r="N11" t="s">
        <v>78</v>
      </c>
      <c r="O11" t="s">
        <v>79</v>
      </c>
    </row>
    <row r="12" spans="1:15" x14ac:dyDescent="0.25">
      <c r="N12" t="s">
        <v>15</v>
      </c>
      <c r="O12" t="s">
        <v>80</v>
      </c>
    </row>
    <row r="13" spans="1:15" x14ac:dyDescent="0.25">
      <c r="N13" t="s">
        <v>81</v>
      </c>
      <c r="O13" t="s">
        <v>82</v>
      </c>
    </row>
    <row r="14" spans="1:15" x14ac:dyDescent="0.25">
      <c r="N14" t="s">
        <v>83</v>
      </c>
      <c r="O14" t="s">
        <v>84</v>
      </c>
    </row>
    <row r="15" spans="1:15" x14ac:dyDescent="0.25">
      <c r="N15" t="s">
        <v>85</v>
      </c>
      <c r="O15" t="s">
        <v>86</v>
      </c>
    </row>
    <row r="16" spans="1:15" x14ac:dyDescent="0.25">
      <c r="G16" s="15"/>
    </row>
    <row r="17" spans="7:7" x14ac:dyDescent="0.25">
      <c r="G17" s="15"/>
    </row>
    <row r="18" spans="7:7" x14ac:dyDescent="0.25">
      <c r="G18" s="15"/>
    </row>
    <row r="19" spans="7:7" x14ac:dyDescent="0.25">
      <c r="G19" s="15"/>
    </row>
    <row r="20" spans="7:7" x14ac:dyDescent="0.25">
      <c r="G20" s="15"/>
    </row>
    <row r="21" spans="7:7" x14ac:dyDescent="0.25">
      <c r="G21" s="15"/>
    </row>
    <row r="22" spans="7:7" x14ac:dyDescent="0.25">
      <c r="G22" s="15"/>
    </row>
    <row r="50" spans="1:1" x14ac:dyDescent="0.25">
      <c r="A50" t="s">
        <v>91</v>
      </c>
    </row>
    <row r="57" spans="1:1" x14ac:dyDescent="0.25">
      <c r="A57" s="25"/>
    </row>
  </sheetData>
  <dataValidations count="2">
    <dataValidation type="list" allowBlank="1" showInputMessage="1" showErrorMessage="1" sqref="B9">
      <formula1>"TRUE, FALSE"</formula1>
    </dataValidation>
    <dataValidation type="list" allowBlank="1" showInputMessage="1" showErrorMessage="1" sqref="G1">
      <formula1>$K$1:$K$2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Orders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2021-05-26T15:11:15Z</dcterms:created>
  <dcterms:modified xsi:type="dcterms:W3CDTF">2021-07-08T10:10:44Z</dcterms:modified>
</cp:coreProperties>
</file>